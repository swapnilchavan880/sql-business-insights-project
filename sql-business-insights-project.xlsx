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tables/table10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Learning 2025 Dashboards\SQL Dashboard\Atliq Hardware SQL Dashboard\"/>
    </mc:Choice>
  </mc:AlternateContent>
  <xr:revisionPtr revIDLastSave="0" documentId="13_ncr:9_{E166DC37-ACFB-4118-9AF6-C8D242C313F9}" xr6:coauthVersionLast="47" xr6:coauthVersionMax="47" xr10:uidLastSave="{00000000-0000-0000-0000-000000000000}"/>
  <bookViews>
    <workbookView xWindow="-108" yWindow="-108" windowWidth="23256" windowHeight="13176" activeTab="5" xr2:uid="{A4344644-A627-4DB6-90BC-3A5F1E69DFE5}"/>
  </bookViews>
  <sheets>
    <sheet name="Q.1" sheetId="4" r:id="rId1"/>
    <sheet name="Q.2" sheetId="5" r:id="rId2"/>
    <sheet name="Q.3" sheetId="6" r:id="rId3"/>
    <sheet name="Q.4" sheetId="7" r:id="rId4"/>
    <sheet name="Q.5" sheetId="8" r:id="rId5"/>
    <sheet name="Q.6" sheetId="9" r:id="rId6"/>
    <sheet name="Q.7" sheetId="10" r:id="rId7"/>
    <sheet name="Q.8" sheetId="11" r:id="rId8"/>
    <sheet name="Q.9" sheetId="3" r:id="rId9"/>
    <sheet name="Q.10" sheetId="2" r:id="rId10"/>
  </sheets>
  <definedNames>
    <definedName name="_xlchart.v2.0" hidden="1">Q.8!$C$11:$C$14</definedName>
    <definedName name="_xlchart.v2.1" hidden="1">Q.8!$D$10</definedName>
    <definedName name="_xlchart.v2.2" hidden="1">Q.8!$D$11:$D$14</definedName>
    <definedName name="_xlchart.v2.3" hidden="1">Q.8!$C$11:$C$14</definedName>
    <definedName name="_xlchart.v2.4" hidden="1">Q.8!$D$10</definedName>
    <definedName name="_xlchart.v2.5" hidden="1">Q.8!$D$11:$D$14</definedName>
  </definedNames>
  <calcPr calcId="0"/>
  <pivotCaches>
    <pivotCache cacheId="6" r:id="rId11"/>
  </pivotCaches>
</workbook>
</file>

<file path=xl/calcChain.xml><?xml version="1.0" encoding="utf-8"?>
<calcChain xmlns="http://schemas.openxmlformats.org/spreadsheetml/2006/main">
  <c r="L16" i="2" l="1"/>
  <c r="E13" i="5"/>
</calcChain>
</file>

<file path=xl/sharedStrings.xml><?xml version="1.0" encoding="utf-8"?>
<sst xmlns="http://schemas.openxmlformats.org/spreadsheetml/2006/main" count="170" uniqueCount="130">
  <si>
    <t>month</t>
  </si>
  <si>
    <t>fiscal_year</t>
  </si>
  <si>
    <t>gross_sale_amt</t>
  </si>
  <si>
    <t>September(2019)</t>
  </si>
  <si>
    <t>October(2019)</t>
  </si>
  <si>
    <t>November(2019)</t>
  </si>
  <si>
    <t>December(2019)</t>
  </si>
  <si>
    <t>January(2020)</t>
  </si>
  <si>
    <t>February(2020)</t>
  </si>
  <si>
    <t>March(2020)</t>
  </si>
  <si>
    <t>April(2020)</t>
  </si>
  <si>
    <t>May(2020)</t>
  </si>
  <si>
    <t>June(2020)</t>
  </si>
  <si>
    <t>July(2020)</t>
  </si>
  <si>
    <t>August(2020)</t>
  </si>
  <si>
    <t>September(2020)</t>
  </si>
  <si>
    <t>October(2020)</t>
  </si>
  <si>
    <t>November(2020)</t>
  </si>
  <si>
    <t>December(2020)</t>
  </si>
  <si>
    <t>January(2021)</t>
  </si>
  <si>
    <t>February(2021)</t>
  </si>
  <si>
    <t>March(2021)</t>
  </si>
  <si>
    <t>April(2021)</t>
  </si>
  <si>
    <t>May(2021)</t>
  </si>
  <si>
    <t>June(2021)</t>
  </si>
  <si>
    <t>July(2021)</t>
  </si>
  <si>
    <t>August(2021)</t>
  </si>
  <si>
    <t>division</t>
  </si>
  <si>
    <t>product_code</t>
  </si>
  <si>
    <t>product</t>
  </si>
  <si>
    <t>total_sold_quantity</t>
  </si>
  <si>
    <t>rank_order</t>
  </si>
  <si>
    <t>10. Get the Top 3 products in each division that have a high total_sold_quantity in the fiscal_year 2021? The final output contains these fields,</t>
  </si>
  <si>
    <t>N &amp; S</t>
  </si>
  <si>
    <t>A6720160103</t>
  </si>
  <si>
    <t>AQ Pen Drive 2 IN 1</t>
  </si>
  <si>
    <t>A6818160202</t>
  </si>
  <si>
    <t>AQ Pen Drive DRC</t>
  </si>
  <si>
    <t>A6819160203</t>
  </si>
  <si>
    <t>P &amp; A</t>
  </si>
  <si>
    <t>A2319150302</t>
  </si>
  <si>
    <t>AQ Gamers Ms</t>
  </si>
  <si>
    <t>A2520150501</t>
  </si>
  <si>
    <t>AQ Maxima Ms</t>
  </si>
  <si>
    <t>A2520150504</t>
  </si>
  <si>
    <t>PC</t>
  </si>
  <si>
    <t>A4218110202</t>
  </si>
  <si>
    <t>AQ Digit</t>
  </si>
  <si>
    <t>A4319110306</t>
  </si>
  <si>
    <t>AQ Velocity</t>
  </si>
  <si>
    <t>A4218110208</t>
  </si>
  <si>
    <t>total_sold_qty</t>
  </si>
  <si>
    <t>Grand Total</t>
  </si>
  <si>
    <t>Sum of total_sold_qty</t>
  </si>
  <si>
    <t>9. Which channel helped to bring more gross sales in the fiscal year 2021 and the percentage of contribution? The final output contains these fields,</t>
  </si>
  <si>
    <t>channel</t>
  </si>
  <si>
    <t>Percentage</t>
  </si>
  <si>
    <r>
      <t xml:space="preserve">1. Provide the list of </t>
    </r>
    <r>
      <rPr>
        <b/>
        <u/>
        <sz val="11"/>
        <color theme="1"/>
        <rFont val="Calibri"/>
        <family val="2"/>
        <scheme val="minor"/>
      </rPr>
      <t>markets</t>
    </r>
    <r>
      <rPr>
        <b/>
        <sz val="11"/>
        <color theme="1"/>
        <rFont val="Calibri"/>
        <family val="2"/>
        <scheme val="minor"/>
      </rPr>
      <t xml:space="preserve"> in which </t>
    </r>
    <r>
      <rPr>
        <b/>
        <u/>
        <sz val="11"/>
        <color theme="1"/>
        <rFont val="Calibri"/>
        <family val="2"/>
        <scheme val="minor"/>
      </rPr>
      <t>customer</t>
    </r>
    <r>
      <rPr>
        <b/>
        <sz val="11"/>
        <color theme="1"/>
        <rFont val="Calibri"/>
        <family val="2"/>
        <scheme val="minor"/>
      </rPr>
      <t xml:space="preserve"> "Atliq Exclusive" operates its business in the APAC </t>
    </r>
    <r>
      <rPr>
        <b/>
        <u/>
        <sz val="11"/>
        <color theme="1"/>
        <rFont val="Calibri"/>
        <family val="2"/>
        <scheme val="minor"/>
      </rPr>
      <t>region</t>
    </r>
    <r>
      <rPr>
        <b/>
        <sz val="11"/>
        <color theme="1"/>
        <rFont val="Calibri"/>
        <family val="2"/>
        <scheme val="minor"/>
      </rPr>
      <t xml:space="preserve">. </t>
    </r>
  </si>
  <si>
    <t>Australia</t>
  </si>
  <si>
    <t>Bangladesh</t>
  </si>
  <si>
    <t>India</t>
  </si>
  <si>
    <t>Indonesia</t>
  </si>
  <si>
    <t>Japan</t>
  </si>
  <si>
    <t>Newzealand</t>
  </si>
  <si>
    <t>Philiphines</t>
  </si>
  <si>
    <t>South Korea</t>
  </si>
  <si>
    <t>Market</t>
  </si>
  <si>
    <t>2. What is the percentage of unique product increase in 2021 vs. 2020?</t>
  </si>
  <si>
    <t xml:space="preserve"> The final output contains these fields, </t>
  </si>
  <si>
    <t xml:space="preserve">unique_products_2020 </t>
  </si>
  <si>
    <t xml:space="preserve">unique_products_2021 </t>
  </si>
  <si>
    <t>percentage_chg</t>
  </si>
  <si>
    <t>unq_product_2020</t>
  </si>
  <si>
    <t>unq_product_2021</t>
  </si>
  <si>
    <t>pct_chg</t>
  </si>
  <si>
    <r>
      <t xml:space="preserve">3. Provide a report with all the </t>
    </r>
    <r>
      <rPr>
        <b/>
        <u/>
        <sz val="11"/>
        <color theme="1"/>
        <rFont val="Calibri"/>
        <family val="2"/>
        <scheme val="minor"/>
      </rPr>
      <t>unique product counts</t>
    </r>
    <r>
      <rPr>
        <b/>
        <sz val="11"/>
        <color theme="1"/>
        <rFont val="Calibri"/>
        <family val="2"/>
        <scheme val="minor"/>
      </rPr>
      <t xml:space="preserve"> for each </t>
    </r>
    <r>
      <rPr>
        <b/>
        <u/>
        <sz val="11"/>
        <color theme="1"/>
        <rFont val="Calibri"/>
        <family val="2"/>
        <scheme val="minor"/>
      </rPr>
      <t>segment</t>
    </r>
    <r>
      <rPr>
        <b/>
        <sz val="11"/>
        <color theme="1"/>
        <rFont val="Calibri"/>
        <family val="2"/>
        <scheme val="minor"/>
      </rPr>
      <t xml:space="preserve"> and sort them in descending order of product counts. </t>
    </r>
  </si>
  <si>
    <t xml:space="preserve">The final output contains 2 fields, </t>
  </si>
  <si>
    <t xml:space="preserve">segment </t>
  </si>
  <si>
    <t xml:space="preserve">product_count </t>
  </si>
  <si>
    <t>segment</t>
  </si>
  <si>
    <t>unq_product_count</t>
  </si>
  <si>
    <t>Accessories</t>
  </si>
  <si>
    <t>Peripherals</t>
  </si>
  <si>
    <t>Notebook</t>
  </si>
  <si>
    <t>Storage</t>
  </si>
  <si>
    <t>Desktop</t>
  </si>
  <si>
    <t>Networking</t>
  </si>
  <si>
    <r>
      <t xml:space="preserve">4. Follow-up: Which </t>
    </r>
    <r>
      <rPr>
        <b/>
        <u/>
        <sz val="11"/>
        <color theme="1"/>
        <rFont val="Calibri"/>
        <family val="2"/>
        <scheme val="minor"/>
      </rPr>
      <t>segment</t>
    </r>
    <r>
      <rPr>
        <b/>
        <sz val="11"/>
        <color theme="1"/>
        <rFont val="Calibri"/>
        <family val="2"/>
        <scheme val="minor"/>
      </rPr>
      <t xml:space="preserve"> had the most increase in </t>
    </r>
    <r>
      <rPr>
        <b/>
        <u/>
        <sz val="11"/>
        <color theme="1"/>
        <rFont val="Calibri"/>
        <family val="2"/>
        <scheme val="minor"/>
      </rPr>
      <t>unique products</t>
    </r>
    <r>
      <rPr>
        <b/>
        <sz val="11"/>
        <color theme="1"/>
        <rFont val="Calibri"/>
        <family val="2"/>
        <scheme val="minor"/>
      </rPr>
      <t xml:space="preserve"> in </t>
    </r>
    <r>
      <rPr>
        <b/>
        <u/>
        <sz val="11"/>
        <color theme="1"/>
        <rFont val="Calibri"/>
        <family val="2"/>
        <scheme val="minor"/>
      </rPr>
      <t>2021 vs 2020</t>
    </r>
    <r>
      <rPr>
        <b/>
        <sz val="11"/>
        <color theme="1"/>
        <rFont val="Calibri"/>
        <family val="2"/>
        <scheme val="minor"/>
      </rPr>
      <t>?</t>
    </r>
  </si>
  <si>
    <t xml:space="preserve">    The final output contains these fields, </t>
  </si>
  <si>
    <t xml:space="preserve">product_count_2020 </t>
  </si>
  <si>
    <t xml:space="preserve">product_count_2021 </t>
  </si>
  <si>
    <t>difference</t>
  </si>
  <si>
    <t>unq_segment</t>
  </si>
  <si>
    <t>count_2020</t>
  </si>
  <si>
    <t>count_2021</t>
  </si>
  <si>
    <t>differece</t>
  </si>
  <si>
    <t xml:space="preserve">product_code </t>
  </si>
  <si>
    <t xml:space="preserve">product manufacturing_cost </t>
  </si>
  <si>
    <r>
      <t xml:space="preserve">5. Get the products that have the </t>
    </r>
    <r>
      <rPr>
        <b/>
        <u/>
        <sz val="11"/>
        <color theme="1"/>
        <rFont val="Calibri"/>
        <family val="2"/>
        <scheme val="minor"/>
      </rPr>
      <t>highest and lowest</t>
    </r>
    <r>
      <rPr>
        <b/>
        <sz val="11"/>
        <color theme="1"/>
        <rFont val="Calibri"/>
        <family val="2"/>
        <scheme val="minor"/>
      </rPr>
      <t xml:space="preserve"> manufacturing costs. The final output should contain these fields, </t>
    </r>
  </si>
  <si>
    <t>manufacturing_cost</t>
  </si>
  <si>
    <t>A6120110206</t>
  </si>
  <si>
    <t>AQ HOME Allin1 Gen 2</t>
  </si>
  <si>
    <t>A2118150101</t>
  </si>
  <si>
    <t>AQ Master wired x1 Ms</t>
  </si>
  <si>
    <r>
      <t xml:space="preserve">6. Generate a report which contains the </t>
    </r>
    <r>
      <rPr>
        <b/>
        <sz val="11"/>
        <color theme="1"/>
        <rFont val="Calibri"/>
        <family val="2"/>
        <scheme val="minor"/>
      </rPr>
      <t>top 5 customers</t>
    </r>
    <r>
      <rPr>
        <sz val="11"/>
        <color theme="1"/>
        <rFont val="Calibri"/>
        <family val="2"/>
        <scheme val="minor"/>
      </rPr>
      <t xml:space="preserve"> who received an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 high pre_invoice_discount_pct for the </t>
    </r>
    <r>
      <rPr>
        <b/>
        <sz val="11"/>
        <color theme="1"/>
        <rFont val="Calibri"/>
        <family val="2"/>
        <scheme val="minor"/>
      </rPr>
      <t>fiscal year 2021</t>
    </r>
    <r>
      <rPr>
        <sz val="11"/>
        <color theme="1"/>
        <rFont val="Calibri"/>
        <family val="2"/>
        <scheme val="minor"/>
      </rPr>
      <t xml:space="preserve"> and in the </t>
    </r>
    <r>
      <rPr>
        <b/>
        <sz val="11"/>
        <color theme="1"/>
        <rFont val="Calibri"/>
        <family val="2"/>
        <scheme val="minor"/>
      </rPr>
      <t>Indian market</t>
    </r>
    <r>
      <rPr>
        <sz val="11"/>
        <color theme="1"/>
        <rFont val="Calibri"/>
        <family val="2"/>
        <scheme val="minor"/>
      </rPr>
      <t>. The final output contains these fields,</t>
    </r>
  </si>
  <si>
    <t>customer_code</t>
  </si>
  <si>
    <t>customer</t>
  </si>
  <si>
    <t>average_discount_percentage</t>
  </si>
  <si>
    <t>avg_pid</t>
  </si>
  <si>
    <t>Flipkart</t>
  </si>
  <si>
    <t>Viveks</t>
  </si>
  <si>
    <t>Croma</t>
  </si>
  <si>
    <t>Ezone</t>
  </si>
  <si>
    <t xml:space="preserve">Amazon </t>
  </si>
  <si>
    <t>Month</t>
  </si>
  <si>
    <t>Year</t>
  </si>
  <si>
    <t>Gross sales Amoun</t>
  </si>
  <si>
    <r>
      <t xml:space="preserve">7. Get the complete report of the </t>
    </r>
    <r>
      <rPr>
        <b/>
        <sz val="11"/>
        <color theme="1"/>
        <rFont val="Calibri"/>
        <family val="2"/>
        <scheme val="minor"/>
      </rPr>
      <t>Gross sales amount</t>
    </r>
    <r>
      <rPr>
        <sz val="11"/>
        <color theme="1"/>
        <rFont val="Calibri"/>
        <family val="2"/>
        <scheme val="minor"/>
      </rPr>
      <t xml:space="preserve"> for the </t>
    </r>
    <r>
      <rPr>
        <b/>
        <sz val="11"/>
        <color theme="1"/>
        <rFont val="Calibri"/>
        <family val="2"/>
        <scheme val="minor"/>
      </rPr>
      <t>customer “Atliq Exclusive”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each month</t>
    </r>
    <r>
      <rPr>
        <sz val="11"/>
        <color theme="1"/>
        <rFont val="Calibri"/>
        <family val="2"/>
        <scheme val="minor"/>
      </rPr>
      <t xml:space="preserve"> . This analysis helps to get an idea of </t>
    </r>
    <r>
      <rPr>
        <b/>
        <sz val="11"/>
        <color theme="1"/>
        <rFont val="Calibri"/>
        <family val="2"/>
        <scheme val="minor"/>
      </rPr>
      <t>low and high-performing months</t>
    </r>
    <r>
      <rPr>
        <sz val="11"/>
        <color theme="1"/>
        <rFont val="Calibri"/>
        <family val="2"/>
        <scheme val="minor"/>
      </rPr>
      <t xml:space="preserve"> and take strategic decisions. The final report contains these columns: </t>
    </r>
  </si>
  <si>
    <r>
      <t xml:space="preserve"> 8. In which quarter of 2020, got the </t>
    </r>
    <r>
      <rPr>
        <u/>
        <sz val="11"/>
        <color theme="1"/>
        <rFont val="Calibri"/>
        <family val="2"/>
        <scheme val="minor"/>
      </rPr>
      <t>maximum total_sold_quantity</t>
    </r>
    <r>
      <rPr>
        <sz val="11"/>
        <color theme="1"/>
        <rFont val="Calibri"/>
        <family val="2"/>
        <scheme val="minor"/>
      </rPr>
      <t>? The final output contains these fields sorted by the      -total_sold_quantity,</t>
    </r>
  </si>
  <si>
    <t>Quarter</t>
  </si>
  <si>
    <t>Quarters</t>
  </si>
  <si>
    <t>Q1</t>
  </si>
  <si>
    <t>Q2</t>
  </si>
  <si>
    <t>Q4</t>
  </si>
  <si>
    <t>Q3</t>
  </si>
  <si>
    <t>gross_sales_mln</t>
  </si>
  <si>
    <t>percentage</t>
  </si>
  <si>
    <t>Retailer</t>
  </si>
  <si>
    <t>Direct</t>
  </si>
  <si>
    <t>Distributor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</si>
</sst>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3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7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Unique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Q.2!$C$12:$D$12</c:f>
              <c:strCache>
                <c:ptCount val="2"/>
                <c:pt idx="0">
                  <c:v>unq_product_2020</c:v>
                </c:pt>
                <c:pt idx="1">
                  <c:v>unq_product_2021</c:v>
                </c:pt>
              </c:strCache>
            </c:strRef>
          </c:cat>
          <c:val>
            <c:numRef>
              <c:f>Q.2!$C$13:$D$13</c:f>
              <c:numCache>
                <c:formatCode>General</c:formatCode>
                <c:ptCount val="2"/>
                <c:pt idx="0">
                  <c:v>245</c:v>
                </c:pt>
                <c:pt idx="1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E-4DE3-9290-0DFC6FDD00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23017008"/>
        <c:axId val="1023015088"/>
      </c:barChart>
      <c:catAx>
        <c:axId val="102301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015088"/>
        <c:crosses val="autoZero"/>
        <c:auto val="1"/>
        <c:lblAlgn val="ctr"/>
        <c:lblOffset val="100"/>
        <c:noMultiLvlLbl val="0"/>
      </c:catAx>
      <c:valAx>
        <c:axId val="1023015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2301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Q.3!$C$10</c:f>
              <c:strCache>
                <c:ptCount val="1"/>
                <c:pt idx="0">
                  <c:v>unq_product_count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Q.3!$B$11:$B$16</c:f>
              <c:strCache>
                <c:ptCount val="6"/>
                <c:pt idx="0">
                  <c:v>Accessories</c:v>
                </c:pt>
                <c:pt idx="1">
                  <c:v>Peripherals</c:v>
                </c:pt>
                <c:pt idx="2">
                  <c:v>Notebook</c:v>
                </c:pt>
                <c:pt idx="3">
                  <c:v>Storage</c:v>
                </c:pt>
                <c:pt idx="4">
                  <c:v>Desktop</c:v>
                </c:pt>
                <c:pt idx="5">
                  <c:v>Networking</c:v>
                </c:pt>
              </c:strCache>
            </c:strRef>
          </c:cat>
          <c:val>
            <c:numRef>
              <c:f>Q.3!$C$11:$C$16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17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1-4B3F-856D-820FCAEA96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22785488"/>
        <c:axId val="1022786448"/>
      </c:barChart>
      <c:catAx>
        <c:axId val="102278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86448"/>
        <c:crosses val="autoZero"/>
        <c:auto val="1"/>
        <c:lblAlgn val="ctr"/>
        <c:lblOffset val="100"/>
        <c:noMultiLvlLbl val="0"/>
      </c:catAx>
      <c:valAx>
        <c:axId val="1022786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2278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Top 5</a:t>
            </a:r>
            <a:r>
              <a:rPr lang="en-US" baseline="0"/>
              <a:t> customers with Highest Pre Invoice Discount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Q.6!$E$10</c:f>
              <c:strCache>
                <c:ptCount val="1"/>
                <c:pt idx="0">
                  <c:v>avg_pid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Q.6!$C$11:$D$15</c:f>
              <c:multiLvlStrCache>
                <c:ptCount val="5"/>
                <c:lvl>
                  <c:pt idx="0">
                    <c:v>Flipkart</c:v>
                  </c:pt>
                  <c:pt idx="1">
                    <c:v>Viveks</c:v>
                  </c:pt>
                  <c:pt idx="2">
                    <c:v>Croma</c:v>
                  </c:pt>
                  <c:pt idx="3">
                    <c:v>Ezone</c:v>
                  </c:pt>
                  <c:pt idx="4">
                    <c:v>Amazon </c:v>
                  </c:pt>
                </c:lvl>
                <c:lvl>
                  <c:pt idx="0">
                    <c:v>90002009</c:v>
                  </c:pt>
                  <c:pt idx="1">
                    <c:v>90002006</c:v>
                  </c:pt>
                  <c:pt idx="2">
                    <c:v>90002002</c:v>
                  </c:pt>
                  <c:pt idx="3">
                    <c:v>90002003</c:v>
                  </c:pt>
                  <c:pt idx="4">
                    <c:v>90002016</c:v>
                  </c:pt>
                </c:lvl>
              </c:multiLvlStrCache>
            </c:multiLvlStrRef>
          </c:cat>
          <c:val>
            <c:numRef>
              <c:f>Q.6!$E$11:$E$15</c:f>
              <c:numCache>
                <c:formatCode>0.00</c:formatCode>
                <c:ptCount val="5"/>
                <c:pt idx="0">
                  <c:v>0.31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3-4777-AAA5-D6140F5D04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23014128"/>
        <c:axId val="1023016048"/>
      </c:barChart>
      <c:catAx>
        <c:axId val="102301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016048"/>
        <c:crosses val="autoZero"/>
        <c:auto val="1"/>
        <c:lblAlgn val="ctr"/>
        <c:lblOffset val="100"/>
        <c:noMultiLvlLbl val="0"/>
      </c:catAx>
      <c:valAx>
        <c:axId val="10230160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2301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Gross</a:t>
            </a:r>
            <a:r>
              <a:rPr lang="en-IN" baseline="0"/>
              <a:t> Sale Amount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Q.7!$D$10</c:f>
              <c:strCache>
                <c:ptCount val="1"/>
                <c:pt idx="0">
                  <c:v>fiscal_year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Q.7!$C$11:$C$34</c:f>
              <c:strCache>
                <c:ptCount val="24"/>
                <c:pt idx="0">
                  <c:v>September(2019)</c:v>
                </c:pt>
                <c:pt idx="1">
                  <c:v>October(2019)</c:v>
                </c:pt>
                <c:pt idx="2">
                  <c:v>November(2019)</c:v>
                </c:pt>
                <c:pt idx="3">
                  <c:v>December(2019)</c:v>
                </c:pt>
                <c:pt idx="4">
                  <c:v>January(2020)</c:v>
                </c:pt>
                <c:pt idx="5">
                  <c:v>February(2020)</c:v>
                </c:pt>
                <c:pt idx="6">
                  <c:v>March(2020)</c:v>
                </c:pt>
                <c:pt idx="7">
                  <c:v>April(2020)</c:v>
                </c:pt>
                <c:pt idx="8">
                  <c:v>May(2020)</c:v>
                </c:pt>
                <c:pt idx="9">
                  <c:v>June(2020)</c:v>
                </c:pt>
                <c:pt idx="10">
                  <c:v>July(2020)</c:v>
                </c:pt>
                <c:pt idx="11">
                  <c:v>August(2020)</c:v>
                </c:pt>
                <c:pt idx="12">
                  <c:v>September(2020)</c:v>
                </c:pt>
                <c:pt idx="13">
                  <c:v>October(2020)</c:v>
                </c:pt>
                <c:pt idx="14">
                  <c:v>November(2020)</c:v>
                </c:pt>
                <c:pt idx="15">
                  <c:v>December(2020)</c:v>
                </c:pt>
                <c:pt idx="16">
                  <c:v>January(2021)</c:v>
                </c:pt>
                <c:pt idx="17">
                  <c:v>February(2021)</c:v>
                </c:pt>
                <c:pt idx="18">
                  <c:v>March(2021)</c:v>
                </c:pt>
                <c:pt idx="19">
                  <c:v>April(2021)</c:v>
                </c:pt>
                <c:pt idx="20">
                  <c:v>May(2021)</c:v>
                </c:pt>
                <c:pt idx="21">
                  <c:v>June(2021)</c:v>
                </c:pt>
                <c:pt idx="22">
                  <c:v>July(2021)</c:v>
                </c:pt>
                <c:pt idx="23">
                  <c:v>August(2021)</c:v>
                </c:pt>
              </c:strCache>
            </c:strRef>
          </c:cat>
          <c:val>
            <c:numRef>
              <c:f>Q.7!$D$11:$D$34</c:f>
              <c:numCache>
                <c:formatCode>General</c:formatCode>
                <c:ptCount val="24"/>
                <c:pt idx="0">
                  <c:v>2020</c:v>
                </c:pt>
                <c:pt idx="1">
                  <c:v>2020</c:v>
                </c:pt>
                <c:pt idx="2">
                  <c:v>2020</c:v>
                </c:pt>
                <c:pt idx="3">
                  <c:v>2020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2020</c:v>
                </c:pt>
                <c:pt idx="9">
                  <c:v>2020</c:v>
                </c:pt>
                <c:pt idx="10">
                  <c:v>2020</c:v>
                </c:pt>
                <c:pt idx="11">
                  <c:v>2020</c:v>
                </c:pt>
                <c:pt idx="12">
                  <c:v>2021</c:v>
                </c:pt>
                <c:pt idx="13">
                  <c:v>2021</c:v>
                </c:pt>
                <c:pt idx="14">
                  <c:v>2021</c:v>
                </c:pt>
                <c:pt idx="15">
                  <c:v>2021</c:v>
                </c:pt>
                <c:pt idx="16">
                  <c:v>2021</c:v>
                </c:pt>
                <c:pt idx="17">
                  <c:v>2021</c:v>
                </c:pt>
                <c:pt idx="18">
                  <c:v>2021</c:v>
                </c:pt>
                <c:pt idx="19">
                  <c:v>2021</c:v>
                </c:pt>
                <c:pt idx="20">
                  <c:v>2021</c:v>
                </c:pt>
                <c:pt idx="21">
                  <c:v>2021</c:v>
                </c:pt>
                <c:pt idx="22">
                  <c:v>2021</c:v>
                </c:pt>
                <c:pt idx="23">
                  <c:v>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D-4355-A2E9-C1B43B3E0E9A}"/>
            </c:ext>
          </c:extLst>
        </c:ser>
        <c:ser>
          <c:idx val="1"/>
          <c:order val="1"/>
          <c:tx>
            <c:strRef>
              <c:f>Q.7!$E$10</c:f>
              <c:strCache>
                <c:ptCount val="1"/>
                <c:pt idx="0">
                  <c:v>gross_sale_amt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Q.7!$C$11:$C$34</c:f>
              <c:strCache>
                <c:ptCount val="24"/>
                <c:pt idx="0">
                  <c:v>September(2019)</c:v>
                </c:pt>
                <c:pt idx="1">
                  <c:v>October(2019)</c:v>
                </c:pt>
                <c:pt idx="2">
                  <c:v>November(2019)</c:v>
                </c:pt>
                <c:pt idx="3">
                  <c:v>December(2019)</c:v>
                </c:pt>
                <c:pt idx="4">
                  <c:v>January(2020)</c:v>
                </c:pt>
                <c:pt idx="5">
                  <c:v>February(2020)</c:v>
                </c:pt>
                <c:pt idx="6">
                  <c:v>March(2020)</c:v>
                </c:pt>
                <c:pt idx="7">
                  <c:v>April(2020)</c:v>
                </c:pt>
                <c:pt idx="8">
                  <c:v>May(2020)</c:v>
                </c:pt>
                <c:pt idx="9">
                  <c:v>June(2020)</c:v>
                </c:pt>
                <c:pt idx="10">
                  <c:v>July(2020)</c:v>
                </c:pt>
                <c:pt idx="11">
                  <c:v>August(2020)</c:v>
                </c:pt>
                <c:pt idx="12">
                  <c:v>September(2020)</c:v>
                </c:pt>
                <c:pt idx="13">
                  <c:v>October(2020)</c:v>
                </c:pt>
                <c:pt idx="14">
                  <c:v>November(2020)</c:v>
                </c:pt>
                <c:pt idx="15">
                  <c:v>December(2020)</c:v>
                </c:pt>
                <c:pt idx="16">
                  <c:v>January(2021)</c:v>
                </c:pt>
                <c:pt idx="17">
                  <c:v>February(2021)</c:v>
                </c:pt>
                <c:pt idx="18">
                  <c:v>March(2021)</c:v>
                </c:pt>
                <c:pt idx="19">
                  <c:v>April(2021)</c:v>
                </c:pt>
                <c:pt idx="20">
                  <c:v>May(2021)</c:v>
                </c:pt>
                <c:pt idx="21">
                  <c:v>June(2021)</c:v>
                </c:pt>
                <c:pt idx="22">
                  <c:v>July(2021)</c:v>
                </c:pt>
                <c:pt idx="23">
                  <c:v>August(2021)</c:v>
                </c:pt>
              </c:strCache>
            </c:strRef>
          </c:cat>
          <c:val>
            <c:numRef>
              <c:f>Q.7!$E$11:$E$34</c:f>
              <c:numCache>
                <c:formatCode>General</c:formatCode>
                <c:ptCount val="24"/>
                <c:pt idx="0">
                  <c:v>9092670.3391999993</c:v>
                </c:pt>
                <c:pt idx="1">
                  <c:v>10378637.596100001</c:v>
                </c:pt>
                <c:pt idx="2">
                  <c:v>15231894.9669</c:v>
                </c:pt>
                <c:pt idx="3">
                  <c:v>9755795.0577000007</c:v>
                </c:pt>
                <c:pt idx="4">
                  <c:v>9584951.9393000007</c:v>
                </c:pt>
                <c:pt idx="5">
                  <c:v>8083995.5478999997</c:v>
                </c:pt>
                <c:pt idx="6">
                  <c:v>766976.45310000004</c:v>
                </c:pt>
                <c:pt idx="7">
                  <c:v>800071.95429999998</c:v>
                </c:pt>
                <c:pt idx="8">
                  <c:v>1586964.4768000001</c:v>
                </c:pt>
                <c:pt idx="9">
                  <c:v>3429736.5712000001</c:v>
                </c:pt>
                <c:pt idx="10">
                  <c:v>5151815.4019999998</c:v>
                </c:pt>
                <c:pt idx="11">
                  <c:v>5638281.8287000004</c:v>
                </c:pt>
                <c:pt idx="12">
                  <c:v>19530271.3028</c:v>
                </c:pt>
                <c:pt idx="13">
                  <c:v>21016218.2095</c:v>
                </c:pt>
                <c:pt idx="14">
                  <c:v>32247289.794599999</c:v>
                </c:pt>
                <c:pt idx="15">
                  <c:v>20409063.176899999</c:v>
                </c:pt>
                <c:pt idx="16">
                  <c:v>19570701.710200001</c:v>
                </c:pt>
                <c:pt idx="17">
                  <c:v>15986603.8883</c:v>
                </c:pt>
                <c:pt idx="18">
                  <c:v>19149624.923900001</c:v>
                </c:pt>
                <c:pt idx="19">
                  <c:v>11483530.303200001</c:v>
                </c:pt>
                <c:pt idx="20">
                  <c:v>19204309.409499999</c:v>
                </c:pt>
                <c:pt idx="21">
                  <c:v>15457579.662599999</c:v>
                </c:pt>
                <c:pt idx="22">
                  <c:v>19044968.816399999</c:v>
                </c:pt>
                <c:pt idx="23">
                  <c:v>11324548.3409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D-4355-A2E9-C1B43B3E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241664"/>
        <c:axId val="1207243104"/>
      </c:areaChart>
      <c:catAx>
        <c:axId val="120724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243104"/>
        <c:crosses val="autoZero"/>
        <c:auto val="1"/>
        <c:lblAlgn val="ctr"/>
        <c:lblOffset val="100"/>
        <c:noMultiLvlLbl val="0"/>
      </c:catAx>
      <c:valAx>
        <c:axId val="120724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24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Q.9!$E$10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Q.9!$C$11:$C$13</c:f>
              <c:strCache>
                <c:ptCount val="3"/>
                <c:pt idx="0">
                  <c:v>Retailer</c:v>
                </c:pt>
                <c:pt idx="1">
                  <c:v>Direct</c:v>
                </c:pt>
                <c:pt idx="2">
                  <c:v>Distributor</c:v>
                </c:pt>
              </c:strCache>
            </c:strRef>
          </c:cat>
          <c:val>
            <c:numRef>
              <c:f>Q.9!$E$11:$E$13</c:f>
              <c:numCache>
                <c:formatCode>General</c:formatCode>
                <c:ptCount val="3"/>
                <c:pt idx="0">
                  <c:v>73.22</c:v>
                </c:pt>
                <c:pt idx="1">
                  <c:v>15.47</c:v>
                </c:pt>
                <c:pt idx="2">
                  <c:v>11.31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7-45A8-8C66-340CA3E3B5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data validation.xlsx]Q.10!PivotTable2</c:name>
    <c:fmtId val="1"/>
  </c:pivotSource>
  <c:chart>
    <c:title>
      <c:tx>
        <c:strRef>
          <c:f>Q.10!$L$16</c:f>
          <c:strCache>
            <c:ptCount val="1"/>
            <c:pt idx="0">
              <c:v>PC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Q.10!$L$16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Q.10!$L$16</c:f>
              <c:multiLvlStrCache>
                <c:ptCount val="3"/>
                <c:lvl>
                  <c:pt idx="0">
                    <c:v>A4218110202</c:v>
                  </c:pt>
                  <c:pt idx="1">
                    <c:v>A4218110208</c:v>
                  </c:pt>
                  <c:pt idx="2">
                    <c:v>A4319110306</c:v>
                  </c:pt>
                </c:lvl>
                <c:lvl>
                  <c:pt idx="0">
                    <c:v>AQ Digit</c:v>
                  </c:pt>
                  <c:pt idx="2">
                    <c:v>AQ Velocity</c:v>
                  </c:pt>
                </c:lvl>
              </c:multiLvlStrCache>
            </c:multiLvlStrRef>
          </c:cat>
          <c:val>
            <c:numRef>
              <c:f>Q.10!$L$16</c:f>
              <c:numCache>
                <c:formatCode>General</c:formatCode>
                <c:ptCount val="3"/>
                <c:pt idx="0">
                  <c:v>17434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F-4965-AECE-D779C3DB5016}"/>
            </c:ext>
          </c:extLst>
        </c:ser>
        <c:ser>
          <c:idx val="1"/>
          <c:order val="1"/>
          <c:tx>
            <c:strRef>
              <c:f>Q.10!$L$16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Q.10!$L$16</c:f>
              <c:multiLvlStrCache>
                <c:ptCount val="3"/>
                <c:lvl>
                  <c:pt idx="0">
                    <c:v>A4218110202</c:v>
                  </c:pt>
                  <c:pt idx="1">
                    <c:v>A4218110208</c:v>
                  </c:pt>
                  <c:pt idx="2">
                    <c:v>A4319110306</c:v>
                  </c:pt>
                </c:lvl>
                <c:lvl>
                  <c:pt idx="0">
                    <c:v>AQ Digit</c:v>
                  </c:pt>
                  <c:pt idx="2">
                    <c:v>AQ Velocity</c:v>
                  </c:pt>
                </c:lvl>
              </c:multiLvlStrCache>
            </c:multiLvlStrRef>
          </c:cat>
          <c:val>
            <c:numRef>
              <c:f>Q.10!$L$16</c:f>
              <c:numCache>
                <c:formatCode>General</c:formatCode>
                <c:ptCount val="3"/>
                <c:pt idx="2">
                  <c:v>17280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F-4965-AECE-D779C3DB5016}"/>
            </c:ext>
          </c:extLst>
        </c:ser>
        <c:ser>
          <c:idx val="2"/>
          <c:order val="2"/>
          <c:tx>
            <c:strRef>
              <c:f>Q.10!$L$16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Q.10!$L$16</c:f>
              <c:multiLvlStrCache>
                <c:ptCount val="3"/>
                <c:lvl>
                  <c:pt idx="0">
                    <c:v>A4218110202</c:v>
                  </c:pt>
                  <c:pt idx="1">
                    <c:v>A4218110208</c:v>
                  </c:pt>
                  <c:pt idx="2">
                    <c:v>A4319110306</c:v>
                  </c:pt>
                </c:lvl>
                <c:lvl>
                  <c:pt idx="0">
                    <c:v>AQ Digit</c:v>
                  </c:pt>
                  <c:pt idx="2">
                    <c:v>AQ Velocity</c:v>
                  </c:pt>
                </c:lvl>
              </c:multiLvlStrCache>
            </c:multiLvlStrRef>
          </c:cat>
          <c:val>
            <c:numRef>
              <c:f>Q.10!$L$16</c:f>
              <c:numCache>
                <c:formatCode>General</c:formatCode>
                <c:ptCount val="3"/>
                <c:pt idx="1">
                  <c:v>17275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CF-4965-AECE-D779C3DB50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41091728"/>
        <c:axId val="1025631472"/>
      </c:barChart>
      <c:catAx>
        <c:axId val="114109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31472"/>
        <c:crosses val="autoZero"/>
        <c:auto val="1"/>
        <c:lblAlgn val="ctr"/>
        <c:lblOffset val="100"/>
        <c:noMultiLvlLbl val="0"/>
      </c:catAx>
      <c:valAx>
        <c:axId val="1025631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109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Total Sold Quantity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Total Sold Quantity</a:t>
          </a:r>
        </a:p>
      </cx:txPr>
    </cx:title>
    <cx:plotArea>
      <cx:plotAreaRegion>
        <cx:series layoutId="funnel" uniqueId="{936AD163-8661-4241-9D20-47EEB59B81FE}">
          <cx:tx>
            <cx:txData>
              <cx:f>_xlchart.v2.4</cx:f>
              <cx:v>total_sold_quantity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10</xdr:row>
      <xdr:rowOff>80010</xdr:rowOff>
    </xdr:from>
    <xdr:to>
      <xdr:col>11</xdr:col>
      <xdr:colOff>160020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2A9BE-25A8-F673-3012-325601E5F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9</xdr:row>
      <xdr:rowOff>72390</xdr:rowOff>
    </xdr:from>
    <xdr:to>
      <xdr:col>12</xdr:col>
      <xdr:colOff>251460</xdr:colOff>
      <xdr:row>24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71A45-216D-5E2F-6287-45FE673D4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10</xdr:row>
      <xdr:rowOff>80010</xdr:rowOff>
    </xdr:from>
    <xdr:to>
      <xdr:col>18</xdr:col>
      <xdr:colOff>45720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0675B-718C-7C0F-F984-9E1013715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10</xdr:row>
      <xdr:rowOff>80010</xdr:rowOff>
    </xdr:from>
    <xdr:to>
      <xdr:col>17</xdr:col>
      <xdr:colOff>60960</xdr:colOff>
      <xdr:row>27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7B07B-1BF6-5D58-3EA4-6070E6E95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10</xdr:row>
      <xdr:rowOff>80010</xdr:rowOff>
    </xdr:from>
    <xdr:to>
      <xdr:col>14</xdr:col>
      <xdr:colOff>38100</xdr:colOff>
      <xdr:row>25</xdr:row>
      <xdr:rowOff>80010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8BDA53E-27C9-5510-0246-B46C198CC7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9088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10</xdr:row>
      <xdr:rowOff>80010</xdr:rowOff>
    </xdr:from>
    <xdr:to>
      <xdr:col>14</xdr:col>
      <xdr:colOff>38100</xdr:colOff>
      <xdr:row>25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B0E7F-777A-B40D-824F-7F4C64747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19</xdr:row>
      <xdr:rowOff>26670</xdr:rowOff>
    </xdr:from>
    <xdr:to>
      <xdr:col>13</xdr:col>
      <xdr:colOff>632460</xdr:colOff>
      <xdr:row>31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22B539-BEFA-4367-9B03-4C550C927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" refreshedDate="46133.996361805555" createdVersion="8" refreshedVersion="8" minRefreshableVersion="3" recordCount="9" xr:uid="{A0F87300-9E89-4758-8BB6-B7DDE3E0F156}">
  <cacheSource type="worksheet">
    <worksheetSource name="Table1"/>
  </cacheSource>
  <cacheFields count="5">
    <cacheField name="division" numFmtId="0">
      <sharedItems count="3">
        <s v="N &amp; S"/>
        <s v="P &amp; A"/>
        <s v="PC"/>
      </sharedItems>
    </cacheField>
    <cacheField name="product_code" numFmtId="0">
      <sharedItems count="9">
        <s v="A6720160103"/>
        <s v="A6818160202"/>
        <s v="A6819160203"/>
        <s v="A2319150302"/>
        <s v="A2520150501"/>
        <s v="A2520150504"/>
        <s v="A4218110202"/>
        <s v="A4319110306"/>
        <s v="A4218110208"/>
      </sharedItems>
    </cacheField>
    <cacheField name="product" numFmtId="0">
      <sharedItems count="6">
        <s v="AQ Pen Drive 2 IN 1"/>
        <s v="AQ Pen Drive DRC"/>
        <s v="AQ Gamers Ms"/>
        <s v="AQ Maxima Ms"/>
        <s v="AQ Digit"/>
        <s v="AQ Velocity"/>
      </sharedItems>
    </cacheField>
    <cacheField name="total_sold_qty" numFmtId="0">
      <sharedItems containsSemiMixedTypes="0" containsString="0" containsNumber="1" containsInteger="1" minValue="17275" maxValue="701373"/>
    </cacheField>
    <cacheField name="rank_order" numFmtId="0">
      <sharedItems containsSemiMixedTypes="0" containsString="0" containsNumber="1" containsInteger="1" minValue="1" maxValue="3" count="3">
        <n v="1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701373"/>
    <x v="0"/>
  </r>
  <r>
    <x v="0"/>
    <x v="1"/>
    <x v="1"/>
    <n v="688003"/>
    <x v="1"/>
  </r>
  <r>
    <x v="0"/>
    <x v="2"/>
    <x v="1"/>
    <n v="676245"/>
    <x v="2"/>
  </r>
  <r>
    <x v="1"/>
    <x v="3"/>
    <x v="2"/>
    <n v="428498"/>
    <x v="0"/>
  </r>
  <r>
    <x v="1"/>
    <x v="4"/>
    <x v="3"/>
    <n v="419865"/>
    <x v="1"/>
  </r>
  <r>
    <x v="1"/>
    <x v="5"/>
    <x v="3"/>
    <n v="419471"/>
    <x v="2"/>
  </r>
  <r>
    <x v="2"/>
    <x v="6"/>
    <x v="4"/>
    <n v="17434"/>
    <x v="0"/>
  </r>
  <r>
    <x v="2"/>
    <x v="7"/>
    <x v="5"/>
    <n v="17280"/>
    <x v="1"/>
  </r>
  <r>
    <x v="2"/>
    <x v="8"/>
    <x v="4"/>
    <n v="1727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0EDE1-5A97-4B51-84BF-13166556127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K9:P14" firstHeaderRow="1" firstDataRow="2" firstDataCol="2" rowPageCount="1" colPageCount="1"/>
  <pivotFields count="5">
    <pivotField axis="axisPage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3"/>
        <item x="4"/>
        <item x="5"/>
        <item x="6"/>
        <item x="8"/>
        <item x="7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4"/>
        <item x="2"/>
        <item x="3"/>
        <item x="0"/>
        <item x="1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4">
    <i>
      <x/>
      <x v="3"/>
    </i>
    <i r="1">
      <x v="4"/>
    </i>
    <i>
      <x v="5"/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0" item="2" hier="-1"/>
  </pageFields>
  <dataFields count="1">
    <dataField name="Sum of total_sold_qty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8FE0E3-B09D-42A8-A41B-7FA06C9D8C52}" name="Table24" displayName="Table24" ref="E9:E17" totalsRowShown="0" headerRowDxfId="5">
  <tableColumns count="1">
    <tableColumn id="1" xr3:uid="{8E11E9FE-3064-4672-B727-EBC33D7993BF}" name="Mark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C006BE-B4DF-4649-A591-36F226067443}" name="Table11" displayName="Table11" ref="C12:E13" totalsRowShown="0" headerRowDxfId="0">
  <autoFilter ref="C12:E13" xr:uid="{87C006BE-B4DF-4649-A591-36F226067443}"/>
  <tableColumns count="3">
    <tableColumn id="1" xr3:uid="{73F64A95-0B1B-44CF-8E87-CFA4E2AB49BB}" name="unq_product_2020" dataDxfId="3"/>
    <tableColumn id="2" xr3:uid="{8BF34F3D-9309-4CFD-9AE4-ABB891F22CFB}" name="unq_product_2021" dataDxfId="2"/>
    <tableColumn id="3" xr3:uid="{67D43505-411F-4411-B50C-CF14F14090B4}" name="pct_chg" dataDxfId="1">
      <calculatedColumnFormula>(D13-C13)/C13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306E2A-7630-4F3C-AACD-580830DA44B3}" name="Table4" displayName="Table4" ref="B10:C16" totalsRowShown="0">
  <autoFilter ref="B10:C16" xr:uid="{C1306E2A-7630-4F3C-AACD-580830DA44B3}"/>
  <tableColumns count="2">
    <tableColumn id="1" xr3:uid="{A4DE9E0C-887D-4C7D-9173-B827C6CDFCED}" name="segment"/>
    <tableColumn id="2" xr3:uid="{9895FC39-5DDC-47F2-A1D3-0248E5362314}" name="unq_product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E5524A-20E2-49D9-91D0-4F752E34ABE7}" name="Table5" displayName="Table5" ref="C12:F18" totalsRowShown="0">
  <autoFilter ref="C12:F18" xr:uid="{CBE5524A-20E2-49D9-91D0-4F752E34ABE7}"/>
  <tableColumns count="4">
    <tableColumn id="1" xr3:uid="{9FCC6773-46F0-4BC2-AAB5-170BA69CD8AA}" name="unq_segment"/>
    <tableColumn id="2" xr3:uid="{EABFF1EF-8A75-4658-BA18-D7B022A3E7B6}" name="count_2020"/>
    <tableColumn id="3" xr3:uid="{D72D2FF4-C4FA-42DF-A420-F72564F95812}" name="count_2021"/>
    <tableColumn id="4" xr3:uid="{C4548251-8B17-473F-927C-346B18B8AD39}" name="differe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0EF7DD-3CD9-4A6C-8504-953017B21453}" name="Table6" displayName="Table6" ref="C8:E10" totalsRowShown="0">
  <autoFilter ref="C8:E10" xr:uid="{390EF7DD-3CD9-4A6C-8504-953017B21453}"/>
  <tableColumns count="3">
    <tableColumn id="1" xr3:uid="{5FCECF25-4D3A-450E-9AD3-F21D67F7B251}" name="product_code"/>
    <tableColumn id="2" xr3:uid="{A68FCE28-EC39-423F-B3CE-99A10465EDFB}" name="product"/>
    <tableColumn id="3" xr3:uid="{CB33F3A7-1D72-42FD-A327-9EB9E558F3AE}" name="manufacturing_cos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43180A-155F-4132-9B99-D2C00DDFAAF0}" name="Table7" displayName="Table7" ref="C10:E15" totalsRowShown="0">
  <autoFilter ref="C10:E15" xr:uid="{2143180A-155F-4132-9B99-D2C00DDFAAF0}"/>
  <tableColumns count="3">
    <tableColumn id="1" xr3:uid="{B5C08266-24AE-4E0C-8561-459E737B7172}" name="customer_code"/>
    <tableColumn id="2" xr3:uid="{9BCDE318-5BE9-4E3B-85FB-FC3525492361}" name="customer"/>
    <tableColumn id="3" xr3:uid="{B6FA62B7-421B-407F-97E0-AB829A4BF24B}" name="avg_pid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39E791-51B2-414F-ACCF-F036DE48F96A}" name="Table8" displayName="Table8" ref="C10:E34" totalsRowShown="0">
  <autoFilter ref="C10:E34" xr:uid="{5C39E791-51B2-414F-ACCF-F036DE48F96A}"/>
  <tableColumns count="3">
    <tableColumn id="1" xr3:uid="{86A67574-3956-474B-B83C-278D4ABC7DAD}" name="month"/>
    <tableColumn id="2" xr3:uid="{F58AE9C1-2950-4A33-8AEF-22CFED363C51}" name="fiscal_year"/>
    <tableColumn id="3" xr3:uid="{DF2DA5D8-BCD9-428C-922D-FC8CE7981725}" name="gross_sale_am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3E99EF-6E95-4347-8B85-0CCC5D6D9A97}" name="Table9" displayName="Table9" ref="C10:D14" totalsRowShown="0">
  <autoFilter ref="C10:D14" xr:uid="{813E99EF-6E95-4347-8B85-0CCC5D6D9A97}"/>
  <tableColumns count="2">
    <tableColumn id="1" xr3:uid="{CB276520-5557-4B7F-9966-06FCD68BE5E6}" name="Quarters"/>
    <tableColumn id="2" xr3:uid="{85D9C47F-38E1-4EEF-AB03-D78687B82C83}" name="total_sold_quant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04FEA7F-676D-4833-8DF3-E00C7B3DD1AD}" name="Table10" displayName="Table10" ref="C10:E13" totalsRowShown="0">
  <tableColumns count="3">
    <tableColumn id="1" xr3:uid="{384C9C60-6A48-4B95-8DCC-B8FC82669A01}" name="channel"/>
    <tableColumn id="2" xr3:uid="{CED02AC2-50EB-4819-8C9D-85E9178DD2C8}" name="gross_sales_mln"/>
    <tableColumn id="3" xr3:uid="{B34381FA-2FF9-4B02-A137-A2FBB28E9B43}" name="percentag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BBF22-18FD-4FE5-8761-BCAA44615D17}" name="Table1" displayName="Table1" ref="D12:H21" totalsRowShown="0">
  <tableColumns count="5">
    <tableColumn id="1" xr3:uid="{799EC413-448B-4B39-B2A6-D0786D3FF512}" name="division"/>
    <tableColumn id="2" xr3:uid="{EB61E614-02CF-46B2-925E-0122068565C6}" name="product_code"/>
    <tableColumn id="3" xr3:uid="{E11BC3F8-E0D5-406A-B966-FBCD71E36AA5}" name="product"/>
    <tableColumn id="4" xr3:uid="{F0DAC1D7-3773-4F7C-8C18-1CCA8FA3E821}" name="total_sold_qty"/>
    <tableColumn id="5" xr3:uid="{8CB648F3-3B18-4E78-9224-D0092F8E9604}" name="rank_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7FFF47-ED15-48A0-9185-16034BA89AA6}">
  <we:reference id="wa200006575" version="1.0.0.8" store="en-US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F5B3-1576-4B13-91B3-FD7D3B22838C}">
  <dimension ref="C2:E17"/>
  <sheetViews>
    <sheetView showGridLines="0" workbookViewId="0">
      <selection activeCell="C2" sqref="C2"/>
    </sheetView>
  </sheetViews>
  <sheetFormatPr defaultRowHeight="14.4" x14ac:dyDescent="0.3"/>
  <cols>
    <col min="3" max="3" width="11.109375" customWidth="1"/>
    <col min="5" max="5" width="11" bestFit="1" customWidth="1"/>
  </cols>
  <sheetData>
    <row r="2" spans="3:5" x14ac:dyDescent="0.3">
      <c r="C2" s="1" t="s">
        <v>57</v>
      </c>
    </row>
    <row r="9" spans="3:5" x14ac:dyDescent="0.3">
      <c r="C9" s="1"/>
      <c r="E9" s="1" t="s">
        <v>66</v>
      </c>
    </row>
    <row r="10" spans="3:5" x14ac:dyDescent="0.3">
      <c r="E10" t="s">
        <v>58</v>
      </c>
    </row>
    <row r="11" spans="3:5" x14ac:dyDescent="0.3">
      <c r="E11" t="s">
        <v>59</v>
      </c>
    </row>
    <row r="12" spans="3:5" x14ac:dyDescent="0.3">
      <c r="E12" t="s">
        <v>60</v>
      </c>
    </row>
    <row r="13" spans="3:5" x14ac:dyDescent="0.3">
      <c r="E13" t="s">
        <v>61</v>
      </c>
    </row>
    <row r="14" spans="3:5" x14ac:dyDescent="0.3">
      <c r="E14" t="s">
        <v>62</v>
      </c>
    </row>
    <row r="15" spans="3:5" x14ac:dyDescent="0.3">
      <c r="E15" t="s">
        <v>63</v>
      </c>
    </row>
    <row r="16" spans="3:5" x14ac:dyDescent="0.3">
      <c r="E16" t="s">
        <v>64</v>
      </c>
    </row>
    <row r="17" spans="5:5" x14ac:dyDescent="0.3">
      <c r="E17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2EB1-42E0-4A3C-88C6-95D8CD005FDD}">
  <dimension ref="C3:E13"/>
  <sheetViews>
    <sheetView showGridLines="0" workbookViewId="0">
      <selection activeCell="C32" sqref="C32"/>
    </sheetView>
  </sheetViews>
  <sheetFormatPr defaultRowHeight="14.4" x14ac:dyDescent="0.3"/>
  <cols>
    <col min="3" max="3" width="18.88671875" customWidth="1"/>
    <col min="4" max="4" width="19.77734375" customWidth="1"/>
    <col min="5" max="5" width="9.5546875" customWidth="1"/>
  </cols>
  <sheetData>
    <row r="3" spans="3:5" x14ac:dyDescent="0.3">
      <c r="C3" s="6" t="s">
        <v>67</v>
      </c>
    </row>
    <row r="4" spans="3:5" x14ac:dyDescent="0.3">
      <c r="C4" s="7" t="s">
        <v>68</v>
      </c>
    </row>
    <row r="5" spans="3:5" x14ac:dyDescent="0.3">
      <c r="C5" s="8" t="s">
        <v>69</v>
      </c>
    </row>
    <row r="6" spans="3:5" x14ac:dyDescent="0.3">
      <c r="C6" s="8" t="s">
        <v>70</v>
      </c>
    </row>
    <row r="7" spans="3:5" x14ac:dyDescent="0.3">
      <c r="C7" s="8" t="s">
        <v>71</v>
      </c>
    </row>
    <row r="12" spans="3:5" x14ac:dyDescent="0.3">
      <c r="C12" s="9" t="s">
        <v>72</v>
      </c>
      <c r="D12" s="9" t="s">
        <v>73</v>
      </c>
      <c r="E12" s="9" t="s">
        <v>74</v>
      </c>
    </row>
    <row r="13" spans="3:5" x14ac:dyDescent="0.3">
      <c r="C13" s="9">
        <v>245</v>
      </c>
      <c r="D13" s="9">
        <v>334</v>
      </c>
      <c r="E13" s="10">
        <f>(D13-C13)/C13</f>
        <v>0.36326530612244901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5540-D12B-4422-8FF6-BAEA9ED6A7A7}">
  <dimension ref="B2:C16"/>
  <sheetViews>
    <sheetView showGridLines="0" workbookViewId="0">
      <selection activeCell="B10" sqref="B10:C16"/>
    </sheetView>
  </sheetViews>
  <sheetFormatPr defaultRowHeight="14.4" x14ac:dyDescent="0.3"/>
  <cols>
    <col min="2" max="2" width="12.77734375" customWidth="1"/>
    <col min="3" max="3" width="19.77734375" customWidth="1"/>
  </cols>
  <sheetData>
    <row r="2" spans="2:3" x14ac:dyDescent="0.3">
      <c r="B2" s="6" t="s">
        <v>75</v>
      </c>
    </row>
    <row r="3" spans="2:3" x14ac:dyDescent="0.3">
      <c r="B3" s="6" t="s">
        <v>76</v>
      </c>
    </row>
    <row r="4" spans="2:3" x14ac:dyDescent="0.3">
      <c r="B4" s="12" t="s">
        <v>77</v>
      </c>
    </row>
    <row r="5" spans="2:3" x14ac:dyDescent="0.3">
      <c r="B5" s="12" t="s">
        <v>78</v>
      </c>
    </row>
    <row r="10" spans="2:3" x14ac:dyDescent="0.3">
      <c r="B10" t="s">
        <v>79</v>
      </c>
      <c r="C10" t="s">
        <v>80</v>
      </c>
    </row>
    <row r="11" spans="2:3" x14ac:dyDescent="0.3">
      <c r="B11" t="s">
        <v>81</v>
      </c>
      <c r="C11">
        <v>20</v>
      </c>
    </row>
    <row r="12" spans="2:3" x14ac:dyDescent="0.3">
      <c r="B12" t="s">
        <v>82</v>
      </c>
      <c r="C12">
        <v>20</v>
      </c>
    </row>
    <row r="13" spans="2:3" x14ac:dyDescent="0.3">
      <c r="B13" t="s">
        <v>83</v>
      </c>
      <c r="C13">
        <v>17</v>
      </c>
    </row>
    <row r="14" spans="2:3" x14ac:dyDescent="0.3">
      <c r="B14" t="s">
        <v>84</v>
      </c>
      <c r="C14">
        <v>9</v>
      </c>
    </row>
    <row r="15" spans="2:3" x14ac:dyDescent="0.3">
      <c r="B15" t="s">
        <v>85</v>
      </c>
      <c r="C15">
        <v>4</v>
      </c>
    </row>
    <row r="16" spans="2:3" x14ac:dyDescent="0.3">
      <c r="B16" t="s">
        <v>86</v>
      </c>
      <c r="C16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2190-A59B-4385-82CC-6751EDBA518B}">
  <dimension ref="B2:F18"/>
  <sheetViews>
    <sheetView showGridLines="0" workbookViewId="0">
      <selection activeCell="I19" sqref="I19"/>
    </sheetView>
  </sheetViews>
  <sheetFormatPr defaultRowHeight="14.4" x14ac:dyDescent="0.3"/>
  <cols>
    <col min="3" max="3" width="14.44140625" customWidth="1"/>
    <col min="4" max="5" width="12.77734375" customWidth="1"/>
    <col min="6" max="6" width="14.6640625" customWidth="1"/>
  </cols>
  <sheetData>
    <row r="2" spans="2:6" x14ac:dyDescent="0.3">
      <c r="B2" s="6" t="s">
        <v>87</v>
      </c>
    </row>
    <row r="3" spans="2:6" x14ac:dyDescent="0.3">
      <c r="B3" s="6" t="s">
        <v>88</v>
      </c>
    </row>
    <row r="4" spans="2:6" x14ac:dyDescent="0.3">
      <c r="B4" s="7" t="s">
        <v>77</v>
      </c>
    </row>
    <row r="5" spans="2:6" x14ac:dyDescent="0.3">
      <c r="B5" s="7" t="s">
        <v>89</v>
      </c>
    </row>
    <row r="6" spans="2:6" x14ac:dyDescent="0.3">
      <c r="B6" s="7" t="s">
        <v>90</v>
      </c>
    </row>
    <row r="7" spans="2:6" x14ac:dyDescent="0.3">
      <c r="B7" s="7" t="s">
        <v>91</v>
      </c>
    </row>
    <row r="12" spans="2:6" x14ac:dyDescent="0.3">
      <c r="C12" t="s">
        <v>92</v>
      </c>
      <c r="D12" t="s">
        <v>93</v>
      </c>
      <c r="E12" t="s">
        <v>94</v>
      </c>
      <c r="F12" t="s">
        <v>95</v>
      </c>
    </row>
    <row r="13" spans="2:6" x14ac:dyDescent="0.3">
      <c r="C13" t="s">
        <v>81</v>
      </c>
      <c r="D13">
        <v>69</v>
      </c>
      <c r="E13">
        <v>103</v>
      </c>
      <c r="F13">
        <v>34</v>
      </c>
    </row>
    <row r="14" spans="2:6" x14ac:dyDescent="0.3">
      <c r="C14" t="s">
        <v>85</v>
      </c>
      <c r="D14">
        <v>7</v>
      </c>
      <c r="E14">
        <v>22</v>
      </c>
      <c r="F14">
        <v>15</v>
      </c>
    </row>
    <row r="15" spans="2:6" x14ac:dyDescent="0.3">
      <c r="C15" t="s">
        <v>86</v>
      </c>
      <c r="D15">
        <v>6</v>
      </c>
      <c r="E15">
        <v>9</v>
      </c>
      <c r="F15">
        <v>3</v>
      </c>
    </row>
    <row r="16" spans="2:6" x14ac:dyDescent="0.3">
      <c r="C16" t="s">
        <v>83</v>
      </c>
      <c r="D16">
        <v>92</v>
      </c>
      <c r="E16">
        <v>108</v>
      </c>
      <c r="F16">
        <v>16</v>
      </c>
    </row>
    <row r="17" spans="3:6" x14ac:dyDescent="0.3">
      <c r="C17" t="s">
        <v>82</v>
      </c>
      <c r="D17">
        <v>59</v>
      </c>
      <c r="E17">
        <v>75</v>
      </c>
      <c r="F17">
        <v>16</v>
      </c>
    </row>
    <row r="18" spans="3:6" x14ac:dyDescent="0.3">
      <c r="C18" t="s">
        <v>84</v>
      </c>
      <c r="D18">
        <v>12</v>
      </c>
      <c r="E18">
        <v>17</v>
      </c>
      <c r="F18">
        <v>5</v>
      </c>
    </row>
  </sheetData>
  <conditionalFormatting sqref="F12:F1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{2F7DA689-4F5D-4A7D-A244-02D662A99ED8}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7DA689-4F5D-4A7D-A244-02D662A99E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F12:F18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9427-6395-440E-BB30-9F9EB14F8E63}">
  <dimension ref="B2:E10"/>
  <sheetViews>
    <sheetView showGridLines="0" workbookViewId="0">
      <selection activeCell="D17" sqref="D17"/>
    </sheetView>
  </sheetViews>
  <sheetFormatPr defaultRowHeight="14.4" x14ac:dyDescent="0.3"/>
  <cols>
    <col min="3" max="3" width="15" bestFit="1" customWidth="1"/>
    <col min="4" max="4" width="20.109375" bestFit="1" customWidth="1"/>
    <col min="5" max="5" width="20.33203125" bestFit="1" customWidth="1"/>
  </cols>
  <sheetData>
    <row r="2" spans="2:5" x14ac:dyDescent="0.3">
      <c r="B2" s="12" t="s">
        <v>98</v>
      </c>
    </row>
    <row r="3" spans="2:5" x14ac:dyDescent="0.3">
      <c r="B3" s="7" t="s">
        <v>96</v>
      </c>
    </row>
    <row r="4" spans="2:5" x14ac:dyDescent="0.3">
      <c r="B4" s="7" t="s">
        <v>97</v>
      </c>
    </row>
    <row r="8" spans="2:5" x14ac:dyDescent="0.3">
      <c r="C8" t="s">
        <v>28</v>
      </c>
      <c r="D8" t="s">
        <v>29</v>
      </c>
      <c r="E8" t="s">
        <v>99</v>
      </c>
    </row>
    <row r="9" spans="2:5" x14ac:dyDescent="0.3">
      <c r="C9" t="s">
        <v>100</v>
      </c>
      <c r="D9" t="s">
        <v>101</v>
      </c>
      <c r="E9">
        <v>240.53639999999999</v>
      </c>
    </row>
    <row r="10" spans="2:5" x14ac:dyDescent="0.3">
      <c r="C10" t="s">
        <v>102</v>
      </c>
      <c r="D10" t="s">
        <v>103</v>
      </c>
      <c r="E10">
        <v>0.89200000000000002</v>
      </c>
    </row>
  </sheetData>
  <conditionalFormatting sqref="E8:E10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F14D-B53B-48DF-BE4D-A140D7F158AE}">
  <dimension ref="B2:E15"/>
  <sheetViews>
    <sheetView showGridLines="0" tabSelected="1" workbookViewId="0">
      <selection activeCell="D24" sqref="D24"/>
    </sheetView>
  </sheetViews>
  <sheetFormatPr defaultRowHeight="14.4" x14ac:dyDescent="0.3"/>
  <cols>
    <col min="3" max="3" width="15.88671875" customWidth="1"/>
    <col min="4" max="4" width="10.77734375" customWidth="1"/>
    <col min="5" max="5" width="9.5546875" customWidth="1"/>
  </cols>
  <sheetData>
    <row r="2" spans="2:5" x14ac:dyDescent="0.3">
      <c r="B2" s="4" t="s">
        <v>104</v>
      </c>
    </row>
    <row r="3" spans="2:5" x14ac:dyDescent="0.3">
      <c r="B3" s="5" t="s">
        <v>105</v>
      </c>
    </row>
    <row r="4" spans="2:5" x14ac:dyDescent="0.3">
      <c r="B4" s="5" t="s">
        <v>106</v>
      </c>
    </row>
    <row r="5" spans="2:5" x14ac:dyDescent="0.3">
      <c r="B5" s="5" t="s">
        <v>107</v>
      </c>
    </row>
    <row r="10" spans="2:5" x14ac:dyDescent="0.3">
      <c r="C10" t="s">
        <v>105</v>
      </c>
      <c r="D10" t="s">
        <v>106</v>
      </c>
      <c r="E10" t="s">
        <v>108</v>
      </c>
    </row>
    <row r="11" spans="2:5" x14ac:dyDescent="0.3">
      <c r="C11">
        <v>90002009</v>
      </c>
      <c r="D11" t="s">
        <v>109</v>
      </c>
      <c r="E11" s="13">
        <v>0.31</v>
      </c>
    </row>
    <row r="12" spans="2:5" x14ac:dyDescent="0.3">
      <c r="C12">
        <v>90002006</v>
      </c>
      <c r="D12" t="s">
        <v>110</v>
      </c>
      <c r="E12" s="13">
        <v>0.3</v>
      </c>
    </row>
    <row r="13" spans="2:5" x14ac:dyDescent="0.3">
      <c r="C13">
        <v>90002002</v>
      </c>
      <c r="D13" t="s">
        <v>111</v>
      </c>
      <c r="E13" s="13">
        <v>0.3</v>
      </c>
    </row>
    <row r="14" spans="2:5" x14ac:dyDescent="0.3">
      <c r="C14">
        <v>90002003</v>
      </c>
      <c r="D14" t="s">
        <v>112</v>
      </c>
      <c r="E14" s="13">
        <v>0.3</v>
      </c>
    </row>
    <row r="15" spans="2:5" x14ac:dyDescent="0.3">
      <c r="C15">
        <v>90002016</v>
      </c>
      <c r="D15" t="s">
        <v>113</v>
      </c>
      <c r="E15" s="13">
        <v>0.28999999999999998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0DF8-C7F5-46BD-BE41-1FA70D3BA6B6}">
  <dimension ref="B2:E34"/>
  <sheetViews>
    <sheetView showGridLines="0" workbookViewId="0">
      <selection activeCell="I8" sqref="I8"/>
    </sheetView>
  </sheetViews>
  <sheetFormatPr defaultRowHeight="14.4" x14ac:dyDescent="0.3"/>
  <cols>
    <col min="4" max="4" width="11.77734375" customWidth="1"/>
    <col min="5" max="5" width="15.77734375" customWidth="1"/>
  </cols>
  <sheetData>
    <row r="2" spans="2:5" x14ac:dyDescent="0.3">
      <c r="B2" s="11" t="s">
        <v>117</v>
      </c>
    </row>
    <row r="3" spans="2:5" x14ac:dyDescent="0.3">
      <c r="B3" s="5" t="s">
        <v>114</v>
      </c>
    </row>
    <row r="4" spans="2:5" x14ac:dyDescent="0.3">
      <c r="B4" s="5" t="s">
        <v>115</v>
      </c>
    </row>
    <row r="5" spans="2:5" x14ac:dyDescent="0.3">
      <c r="B5" s="5" t="s">
        <v>116</v>
      </c>
    </row>
    <row r="10" spans="2:5" x14ac:dyDescent="0.3">
      <c r="C10" t="s">
        <v>0</v>
      </c>
      <c r="D10" t="s">
        <v>1</v>
      </c>
      <c r="E10" t="s">
        <v>2</v>
      </c>
    </row>
    <row r="11" spans="2:5" x14ac:dyDescent="0.3">
      <c r="C11" t="s">
        <v>3</v>
      </c>
      <c r="D11">
        <v>2020</v>
      </c>
      <c r="E11">
        <v>9092670.3391999993</v>
      </c>
    </row>
    <row r="12" spans="2:5" x14ac:dyDescent="0.3">
      <c r="C12" t="s">
        <v>4</v>
      </c>
      <c r="D12">
        <v>2020</v>
      </c>
      <c r="E12">
        <v>10378637.596100001</v>
      </c>
    </row>
    <row r="13" spans="2:5" x14ac:dyDescent="0.3">
      <c r="C13" t="s">
        <v>5</v>
      </c>
      <c r="D13">
        <v>2020</v>
      </c>
      <c r="E13">
        <v>15231894.9669</v>
      </c>
    </row>
    <row r="14" spans="2:5" x14ac:dyDescent="0.3">
      <c r="C14" t="s">
        <v>6</v>
      </c>
      <c r="D14">
        <v>2020</v>
      </c>
      <c r="E14">
        <v>9755795.0577000007</v>
      </c>
    </row>
    <row r="15" spans="2:5" x14ac:dyDescent="0.3">
      <c r="C15" t="s">
        <v>7</v>
      </c>
      <c r="D15">
        <v>2020</v>
      </c>
      <c r="E15">
        <v>9584951.9393000007</v>
      </c>
    </row>
    <row r="16" spans="2:5" x14ac:dyDescent="0.3">
      <c r="C16" t="s">
        <v>8</v>
      </c>
      <c r="D16">
        <v>2020</v>
      </c>
      <c r="E16">
        <v>8083995.5478999997</v>
      </c>
    </row>
    <row r="17" spans="3:5" x14ac:dyDescent="0.3">
      <c r="C17" t="s">
        <v>9</v>
      </c>
      <c r="D17">
        <v>2020</v>
      </c>
      <c r="E17">
        <v>766976.45310000004</v>
      </c>
    </row>
    <row r="18" spans="3:5" x14ac:dyDescent="0.3">
      <c r="C18" t="s">
        <v>10</v>
      </c>
      <c r="D18">
        <v>2020</v>
      </c>
      <c r="E18">
        <v>800071.95429999998</v>
      </c>
    </row>
    <row r="19" spans="3:5" x14ac:dyDescent="0.3">
      <c r="C19" t="s">
        <v>11</v>
      </c>
      <c r="D19">
        <v>2020</v>
      </c>
      <c r="E19">
        <v>1586964.4768000001</v>
      </c>
    </row>
    <row r="20" spans="3:5" x14ac:dyDescent="0.3">
      <c r="C20" t="s">
        <v>12</v>
      </c>
      <c r="D20">
        <v>2020</v>
      </c>
      <c r="E20">
        <v>3429736.5712000001</v>
      </c>
    </row>
    <row r="21" spans="3:5" x14ac:dyDescent="0.3">
      <c r="C21" t="s">
        <v>13</v>
      </c>
      <c r="D21">
        <v>2020</v>
      </c>
      <c r="E21">
        <v>5151815.4019999998</v>
      </c>
    </row>
    <row r="22" spans="3:5" x14ac:dyDescent="0.3">
      <c r="C22" t="s">
        <v>14</v>
      </c>
      <c r="D22">
        <v>2020</v>
      </c>
      <c r="E22">
        <v>5638281.8287000004</v>
      </c>
    </row>
    <row r="23" spans="3:5" x14ac:dyDescent="0.3">
      <c r="C23" t="s">
        <v>15</v>
      </c>
      <c r="D23">
        <v>2021</v>
      </c>
      <c r="E23">
        <v>19530271.3028</v>
      </c>
    </row>
    <row r="24" spans="3:5" x14ac:dyDescent="0.3">
      <c r="C24" t="s">
        <v>16</v>
      </c>
      <c r="D24">
        <v>2021</v>
      </c>
      <c r="E24">
        <v>21016218.2095</v>
      </c>
    </row>
    <row r="25" spans="3:5" x14ac:dyDescent="0.3">
      <c r="C25" t="s">
        <v>17</v>
      </c>
      <c r="D25">
        <v>2021</v>
      </c>
      <c r="E25">
        <v>32247289.794599999</v>
      </c>
    </row>
    <row r="26" spans="3:5" x14ac:dyDescent="0.3">
      <c r="C26" t="s">
        <v>18</v>
      </c>
      <c r="D26">
        <v>2021</v>
      </c>
      <c r="E26">
        <v>20409063.176899999</v>
      </c>
    </row>
    <row r="27" spans="3:5" x14ac:dyDescent="0.3">
      <c r="C27" t="s">
        <v>19</v>
      </c>
      <c r="D27">
        <v>2021</v>
      </c>
      <c r="E27">
        <v>19570701.710200001</v>
      </c>
    </row>
    <row r="28" spans="3:5" x14ac:dyDescent="0.3">
      <c r="C28" t="s">
        <v>20</v>
      </c>
      <c r="D28">
        <v>2021</v>
      </c>
      <c r="E28">
        <v>15986603.8883</v>
      </c>
    </row>
    <row r="29" spans="3:5" x14ac:dyDescent="0.3">
      <c r="C29" t="s">
        <v>21</v>
      </c>
      <c r="D29">
        <v>2021</v>
      </c>
      <c r="E29">
        <v>19149624.923900001</v>
      </c>
    </row>
    <row r="30" spans="3:5" x14ac:dyDescent="0.3">
      <c r="C30" t="s">
        <v>22</v>
      </c>
      <c r="D30">
        <v>2021</v>
      </c>
      <c r="E30">
        <v>11483530.303200001</v>
      </c>
    </row>
    <row r="31" spans="3:5" x14ac:dyDescent="0.3">
      <c r="C31" t="s">
        <v>23</v>
      </c>
      <c r="D31">
        <v>2021</v>
      </c>
      <c r="E31">
        <v>19204309.409499999</v>
      </c>
    </row>
    <row r="32" spans="3:5" x14ac:dyDescent="0.3">
      <c r="C32" t="s">
        <v>24</v>
      </c>
      <c r="D32">
        <v>2021</v>
      </c>
      <c r="E32">
        <v>15457579.662599999</v>
      </c>
    </row>
    <row r="33" spans="3:5" x14ac:dyDescent="0.3">
      <c r="C33" t="s">
        <v>25</v>
      </c>
      <c r="D33">
        <v>2021</v>
      </c>
      <c r="E33">
        <v>19044968.816399999</v>
      </c>
    </row>
    <row r="34" spans="3:5" x14ac:dyDescent="0.3">
      <c r="C34" t="s">
        <v>26</v>
      </c>
      <c r="D34">
        <v>2021</v>
      </c>
      <c r="E34">
        <v>11324548.3409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BC03-A489-4579-B6F3-89EBDC0AFFB1}">
  <dimension ref="B2:D14"/>
  <sheetViews>
    <sheetView showGridLines="0" workbookViewId="0">
      <selection activeCell="C8" sqref="C8"/>
    </sheetView>
  </sheetViews>
  <sheetFormatPr defaultRowHeight="14.4" x14ac:dyDescent="0.3"/>
  <cols>
    <col min="3" max="3" width="10.109375" customWidth="1"/>
    <col min="4" max="4" width="19.33203125" customWidth="1"/>
  </cols>
  <sheetData>
    <row r="2" spans="2:4" x14ac:dyDescent="0.3">
      <c r="B2" s="4" t="s">
        <v>118</v>
      </c>
    </row>
    <row r="3" spans="2:4" x14ac:dyDescent="0.3">
      <c r="B3" s="4" t="s">
        <v>119</v>
      </c>
    </row>
    <row r="4" spans="2:4" x14ac:dyDescent="0.3">
      <c r="B4" s="4" t="s">
        <v>30</v>
      </c>
    </row>
    <row r="10" spans="2:4" x14ac:dyDescent="0.3">
      <c r="C10" t="s">
        <v>120</v>
      </c>
      <c r="D10" t="s">
        <v>30</v>
      </c>
    </row>
    <row r="11" spans="2:4" x14ac:dyDescent="0.3">
      <c r="C11" t="s">
        <v>121</v>
      </c>
      <c r="D11">
        <v>7005619</v>
      </c>
    </row>
    <row r="12" spans="2:4" x14ac:dyDescent="0.3">
      <c r="C12" t="s">
        <v>122</v>
      </c>
      <c r="D12">
        <v>6649642</v>
      </c>
    </row>
    <row r="13" spans="2:4" x14ac:dyDescent="0.3">
      <c r="C13" t="s">
        <v>123</v>
      </c>
      <c r="D13">
        <v>5042541</v>
      </c>
    </row>
    <row r="14" spans="2:4" x14ac:dyDescent="0.3">
      <c r="C14" t="s">
        <v>124</v>
      </c>
      <c r="D14">
        <v>2075087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E18A-0934-4BCE-B39A-8A7DF7CB261C}">
  <dimension ref="B2:E13"/>
  <sheetViews>
    <sheetView showGridLines="0" workbookViewId="0">
      <selection activeCell="D8" sqref="D8"/>
    </sheetView>
  </sheetViews>
  <sheetFormatPr defaultRowHeight="14.4" x14ac:dyDescent="0.3"/>
  <cols>
    <col min="3" max="3" width="9.5546875" customWidth="1"/>
    <col min="4" max="4" width="16.44140625" customWidth="1"/>
    <col min="5" max="5" width="12.33203125" customWidth="1"/>
  </cols>
  <sheetData>
    <row r="2" spans="2:5" x14ac:dyDescent="0.3">
      <c r="B2" s="4" t="s">
        <v>54</v>
      </c>
    </row>
    <row r="3" spans="2:5" x14ac:dyDescent="0.3">
      <c r="B3" s="5" t="s">
        <v>55</v>
      </c>
    </row>
    <row r="4" spans="2:5" x14ac:dyDescent="0.3">
      <c r="B4" s="5" t="s">
        <v>125</v>
      </c>
    </row>
    <row r="5" spans="2:5" x14ac:dyDescent="0.3">
      <c r="B5" s="5" t="s">
        <v>56</v>
      </c>
    </row>
    <row r="10" spans="2:5" x14ac:dyDescent="0.3">
      <c r="C10" t="s">
        <v>55</v>
      </c>
      <c r="D10" t="s">
        <v>125</v>
      </c>
      <c r="E10" t="s">
        <v>126</v>
      </c>
    </row>
    <row r="11" spans="2:5" x14ac:dyDescent="0.3">
      <c r="C11" t="s">
        <v>127</v>
      </c>
      <c r="D11">
        <v>1924.2</v>
      </c>
      <c r="E11">
        <v>73.22</v>
      </c>
    </row>
    <row r="12" spans="2:5" x14ac:dyDescent="0.3">
      <c r="C12" t="s">
        <v>128</v>
      </c>
      <c r="D12">
        <v>406.7</v>
      </c>
      <c r="E12">
        <v>15.47</v>
      </c>
    </row>
    <row r="13" spans="2:5" x14ac:dyDescent="0.3">
      <c r="C13" t="s">
        <v>129</v>
      </c>
      <c r="D13">
        <v>297.2</v>
      </c>
      <c r="E13">
        <v>11.31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ADF6-353E-41F5-BFB0-EA15FBC6D97B}">
  <dimension ref="B2:P32"/>
  <sheetViews>
    <sheetView showGridLines="0" topLeftCell="C1" workbookViewId="0">
      <selection activeCell="E8" sqref="E8"/>
    </sheetView>
  </sheetViews>
  <sheetFormatPr defaultRowHeight="14.4" x14ac:dyDescent="0.3"/>
  <cols>
    <col min="4" max="4" width="9.33203125" customWidth="1"/>
    <col min="5" max="5" width="14.6640625" customWidth="1"/>
    <col min="6" max="6" width="9.5546875" customWidth="1"/>
    <col min="7" max="7" width="15" customWidth="1"/>
    <col min="8" max="8" width="12.21875" customWidth="1"/>
    <col min="11" max="11" width="19.77734375" bestFit="1" customWidth="1"/>
    <col min="12" max="12" width="15" bestFit="1" customWidth="1"/>
    <col min="13" max="15" width="12.5546875" bestFit="1" customWidth="1"/>
    <col min="16" max="16" width="10.77734375" bestFit="1" customWidth="1"/>
  </cols>
  <sheetData>
    <row r="2" spans="2:16" x14ac:dyDescent="0.3">
      <c r="B2" t="s">
        <v>32</v>
      </c>
    </row>
    <row r="4" spans="2:16" x14ac:dyDescent="0.3">
      <c r="B4" t="s">
        <v>27</v>
      </c>
    </row>
    <row r="5" spans="2:16" x14ac:dyDescent="0.3">
      <c r="B5" t="s">
        <v>28</v>
      </c>
    </row>
    <row r="6" spans="2:16" x14ac:dyDescent="0.3">
      <c r="B6" t="s">
        <v>29</v>
      </c>
    </row>
    <row r="7" spans="2:16" x14ac:dyDescent="0.3">
      <c r="B7" t="s">
        <v>30</v>
      </c>
      <c r="K7" s="2" t="s">
        <v>27</v>
      </c>
      <c r="L7" t="s">
        <v>45</v>
      </c>
    </row>
    <row r="8" spans="2:16" x14ac:dyDescent="0.3">
      <c r="B8" t="s">
        <v>31</v>
      </c>
    </row>
    <row r="9" spans="2:16" x14ac:dyDescent="0.3">
      <c r="K9" s="2" t="s">
        <v>53</v>
      </c>
      <c r="M9" s="2" t="s">
        <v>31</v>
      </c>
    </row>
    <row r="10" spans="2:16" x14ac:dyDescent="0.3">
      <c r="B10" s="1"/>
      <c r="K10" s="2" t="s">
        <v>29</v>
      </c>
      <c r="L10" s="2" t="s">
        <v>28</v>
      </c>
      <c r="M10">
        <v>1</v>
      </c>
      <c r="N10">
        <v>2</v>
      </c>
      <c r="O10">
        <v>3</v>
      </c>
      <c r="P10" t="s">
        <v>52</v>
      </c>
    </row>
    <row r="11" spans="2:16" x14ac:dyDescent="0.3">
      <c r="K11" t="s">
        <v>47</v>
      </c>
      <c r="L11" t="s">
        <v>46</v>
      </c>
      <c r="M11" s="3">
        <v>17434</v>
      </c>
      <c r="N11" s="3"/>
      <c r="O11" s="3"/>
      <c r="P11" s="3">
        <v>17434</v>
      </c>
    </row>
    <row r="12" spans="2:16" x14ac:dyDescent="0.3">
      <c r="B12" s="1"/>
      <c r="D12" t="s">
        <v>27</v>
      </c>
      <c r="E12" t="s">
        <v>28</v>
      </c>
      <c r="F12" t="s">
        <v>29</v>
      </c>
      <c r="G12" t="s">
        <v>51</v>
      </c>
      <c r="H12" t="s">
        <v>31</v>
      </c>
      <c r="K12" t="s">
        <v>47</v>
      </c>
      <c r="L12" t="s">
        <v>50</v>
      </c>
      <c r="M12" s="3"/>
      <c r="N12" s="3"/>
      <c r="O12" s="3">
        <v>17275</v>
      </c>
      <c r="P12" s="3">
        <v>17275</v>
      </c>
    </row>
    <row r="13" spans="2:16" x14ac:dyDescent="0.3">
      <c r="D13" t="s">
        <v>33</v>
      </c>
      <c r="E13" t="s">
        <v>34</v>
      </c>
      <c r="F13" t="s">
        <v>35</v>
      </c>
      <c r="G13">
        <v>701373</v>
      </c>
      <c r="H13">
        <v>1</v>
      </c>
      <c r="K13" t="s">
        <v>49</v>
      </c>
      <c r="L13" t="s">
        <v>48</v>
      </c>
      <c r="M13" s="3"/>
      <c r="N13" s="3">
        <v>17280</v>
      </c>
      <c r="O13" s="3"/>
      <c r="P13" s="3">
        <v>17280</v>
      </c>
    </row>
    <row r="14" spans="2:16" x14ac:dyDescent="0.3">
      <c r="D14" t="s">
        <v>33</v>
      </c>
      <c r="E14" t="s">
        <v>36</v>
      </c>
      <c r="F14" t="s">
        <v>37</v>
      </c>
      <c r="G14">
        <v>688003</v>
      </c>
      <c r="H14">
        <v>2</v>
      </c>
      <c r="K14" t="s">
        <v>52</v>
      </c>
      <c r="M14" s="3">
        <v>17434</v>
      </c>
      <c r="N14" s="3">
        <v>17280</v>
      </c>
      <c r="O14" s="3">
        <v>17275</v>
      </c>
      <c r="P14" s="3">
        <v>51989</v>
      </c>
    </row>
    <row r="15" spans="2:16" x14ac:dyDescent="0.3">
      <c r="D15" t="s">
        <v>33</v>
      </c>
      <c r="E15" t="s">
        <v>38</v>
      </c>
      <c r="F15" t="s">
        <v>37</v>
      </c>
      <c r="G15">
        <v>676245</v>
      </c>
      <c r="H15">
        <v>3</v>
      </c>
    </row>
    <row r="16" spans="2:16" x14ac:dyDescent="0.3">
      <c r="D16" t="s">
        <v>39</v>
      </c>
      <c r="E16" t="s">
        <v>40</v>
      </c>
      <c r="F16" t="s">
        <v>41</v>
      </c>
      <c r="G16">
        <v>428498</v>
      </c>
      <c r="H16">
        <v>1</v>
      </c>
      <c r="L16" t="str">
        <f>L7</f>
        <v>PC</v>
      </c>
    </row>
    <row r="17" spans="2:8" x14ac:dyDescent="0.3">
      <c r="D17" t="s">
        <v>39</v>
      </c>
      <c r="E17" t="s">
        <v>42</v>
      </c>
      <c r="F17" t="s">
        <v>43</v>
      </c>
      <c r="G17">
        <v>419865</v>
      </c>
      <c r="H17">
        <v>2</v>
      </c>
    </row>
    <row r="18" spans="2:8" x14ac:dyDescent="0.3">
      <c r="D18" t="s">
        <v>39</v>
      </c>
      <c r="E18" t="s">
        <v>44</v>
      </c>
      <c r="F18" t="s">
        <v>43</v>
      </c>
      <c r="G18">
        <v>419471</v>
      </c>
      <c r="H18">
        <v>3</v>
      </c>
    </row>
    <row r="19" spans="2:8" x14ac:dyDescent="0.3">
      <c r="D19" t="s">
        <v>45</v>
      </c>
      <c r="E19" t="s">
        <v>46</v>
      </c>
      <c r="F19" t="s">
        <v>47</v>
      </c>
      <c r="G19">
        <v>17434</v>
      </c>
      <c r="H19">
        <v>1</v>
      </c>
    </row>
    <row r="20" spans="2:8" x14ac:dyDescent="0.3">
      <c r="D20" t="s">
        <v>45</v>
      </c>
      <c r="E20" t="s">
        <v>48</v>
      </c>
      <c r="F20" t="s">
        <v>49</v>
      </c>
      <c r="G20">
        <v>17280</v>
      </c>
      <c r="H20">
        <v>2</v>
      </c>
    </row>
    <row r="21" spans="2:8" x14ac:dyDescent="0.3">
      <c r="D21" t="s">
        <v>45</v>
      </c>
      <c r="E21" t="s">
        <v>50</v>
      </c>
      <c r="F21" t="s">
        <v>47</v>
      </c>
      <c r="G21">
        <v>17275</v>
      </c>
      <c r="H21">
        <v>3</v>
      </c>
    </row>
    <row r="24" spans="2:8" x14ac:dyDescent="0.3">
      <c r="B24" s="1"/>
    </row>
    <row r="32" spans="2:8" x14ac:dyDescent="0.3">
      <c r="B32" s="1"/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Q.1</vt:lpstr>
      <vt:lpstr>Q.2</vt:lpstr>
      <vt:lpstr>Q.3</vt:lpstr>
      <vt:lpstr>Q.4</vt:lpstr>
      <vt:lpstr>Q.5</vt:lpstr>
      <vt:lpstr>Q.6</vt:lpstr>
      <vt:lpstr>Q.7</vt:lpstr>
      <vt:lpstr>Q.8</vt:lpstr>
      <vt:lpstr>Q.9</vt:lpstr>
      <vt:lpstr>Q.10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Chavan</dc:creator>
  <cp:lastModifiedBy>Swapnil Chavan</cp:lastModifiedBy>
  <dcterms:created xsi:type="dcterms:W3CDTF">2026-04-22T17:05:28Z</dcterms:created>
  <dcterms:modified xsi:type="dcterms:W3CDTF">2026-04-23T15:20:49Z</dcterms:modified>
</cp:coreProperties>
</file>